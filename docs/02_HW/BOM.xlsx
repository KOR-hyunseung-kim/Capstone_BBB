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ajouackr-my.sharepoint.com/personal/kgs990802_ajou_ac_kr/Documents/"/>
    </mc:Choice>
  </mc:AlternateContent>
  <xr:revisionPtr revIDLastSave="0" documentId="8_{C13751DA-9322-4436-B86F-7AAB36AF72DA}" xr6:coauthVersionLast="47" xr6:coauthVersionMax="47" xr10:uidLastSave="{00000000-0000-0000-0000-000000000000}"/>
  <bookViews>
    <workbookView xWindow="-98" yWindow="-98" windowWidth="21795" windowHeight="12975" xr2:uid="{13DCC99B-3BF9-4E95-8CED-6D5FDFB3BE7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F9" i="1"/>
  <c r="H19" i="1"/>
  <c r="I19" i="1" s="1"/>
  <c r="F10" i="1"/>
  <c r="H10" i="1" s="1"/>
  <c r="I10" i="1" s="1"/>
  <c r="H3" i="1"/>
  <c r="I3" i="1" s="1"/>
  <c r="H4" i="1"/>
  <c r="I4" i="1" s="1"/>
  <c r="H6" i="1"/>
  <c r="I6" i="1" s="1"/>
  <c r="H7" i="1"/>
  <c r="I7" i="1" s="1"/>
  <c r="H8" i="1"/>
  <c r="I8" i="1" s="1"/>
  <c r="H9" i="1"/>
  <c r="I9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F5" i="1"/>
  <c r="H5" i="1" s="1"/>
  <c r="I5" i="1" s="1"/>
  <c r="I33" i="1" l="1"/>
  <c r="H33" i="1"/>
</calcChain>
</file>

<file path=xl/sharedStrings.xml><?xml version="1.0" encoding="utf-8"?>
<sst xmlns="http://schemas.openxmlformats.org/spreadsheetml/2006/main" count="84" uniqueCount="81">
  <si>
    <t>#</t>
    <phoneticPr fontId="2" type="noConversion"/>
  </si>
  <si>
    <t>부품명</t>
    <phoneticPr fontId="2" type="noConversion"/>
  </si>
  <si>
    <t>모델</t>
    <phoneticPr fontId="2" type="noConversion"/>
  </si>
  <si>
    <t>수량</t>
    <phoneticPr fontId="2" type="noConversion"/>
  </si>
  <si>
    <t>단가</t>
    <phoneticPr fontId="2" type="noConversion"/>
  </si>
  <si>
    <t>배송비</t>
  </si>
  <si>
    <t>소계</t>
    <phoneticPr fontId="2" type="noConversion"/>
  </si>
  <si>
    <t>여유 비용</t>
  </si>
  <si>
    <t>구매처</t>
    <phoneticPr fontId="2" type="noConversion"/>
  </si>
  <si>
    <t>MCU 보드</t>
    <phoneticPr fontId="2" type="noConversion"/>
  </si>
  <si>
    <t>XIAO Speed ESP32 S3</t>
    <phoneticPr fontId="2" type="noConversion"/>
  </si>
  <si>
    <t>https://ko.aliexpress.com/item/1005008492002266.html?spm=a2g0o.cart.0.0.688038datgTtNG&amp;mp=1&amp;pdp_npi=6%40dis%21KRW%21KRW%2020686%21KRW%2014468%21%21KRW%2014468%21%21%21%400b1bf20a17752115893984618e53f7%2112000045384697340%21ct%21KR%216542068629%21%211%210%21&amp;gatewayAdapt=glo2kor</t>
  </si>
  <si>
    <t>ESP32 S3</t>
    <phoneticPr fontId="2" type="noConversion"/>
  </si>
  <si>
    <t>https://ko.aliexpress.com/item/1005009819241814.html?spm=a2g0o.cart.0.0.688038datgTtNG&amp;mp=1&amp;pdp_npi=6%40dis%21KRW%21KRW%2015203%21KRW%207768%21%21KRW%207768%21%21%21%400b1bf20a17752115893984618e53f7%2112000050270752960%21ct%21KR%216542068629%21%211%210%21&amp;gatewayAdapt=glo2kor</t>
  </si>
  <si>
    <t>EMG 센서</t>
    <phoneticPr fontId="2" type="noConversion"/>
  </si>
  <si>
    <t>MyoWare 2 Muscle Sensor</t>
    <phoneticPr fontId="2" type="noConversion"/>
  </si>
  <si>
    <t>https://www.sparkfun.com/myoware-2-muscle-sensor.html</t>
  </si>
  <si>
    <t>IMU 센서</t>
    <phoneticPr fontId="2" type="noConversion"/>
  </si>
  <si>
    <t>MPU6050 GY-521</t>
    <phoneticPr fontId="2" type="noConversion"/>
  </si>
  <si>
    <t>https://ko.aliexpress.com/item/1005008604349573.html?spm=a2g0o.productlist.main.2.14095347JXxyP1&amp;algo_pvid=7d2747bb-2595-4754-8bb3-22e2ae2182be&amp;algo_exp_id=7d2747bb-2595-4754-8bb3-22e2ae2182be-1&amp;pdp_ext_f=%7B%22order%22%3A%22686%22%2C%22eval%22%3A%221%22%2C%22fromPage%22%3A%22search%22%7D&amp;pdp_npi=6%40dis%21KRW%216759%211539%21%21%2129.93%216.82%21%4021010d9017752141226941961e021b%2112000045917032798%21sea%21KR%216542068629%21ABX%211%210%21n_tag%3A-29910%3Bd%3A75334cce%3Bm03_new_user%3A-29895%3BpisId%3A5000000203687443&amp;curPageLogUid=arXGx9JuTULT&amp;utparam-url=scene%3Asearch%7Cquery_from%3A%7Cx_object_id%3A1005008604349573%7C_p_origin_prod%3A</t>
  </si>
  <si>
    <t>배터리</t>
    <phoneticPr fontId="2" type="noConversion"/>
  </si>
  <si>
    <t>리튬폴리머 배터리 충전지 503035 3.7V 500mAh</t>
  </si>
  <si>
    <t>리튬폴리머 배터리 충전지 503035 3.7V 500mAh - 충전지/건전지충전기 | 쿠팡</t>
  </si>
  <si>
    <t>배터리 + 충전 모듈</t>
  </si>
  <si>
    <t>리튬폴리머 3.7V 650mAh + TP4056 충전모듈 세트</t>
  </si>
  <si>
    <t>https://www.coupang.com/vp/products/9139130017?itemId=26902219903&amp;vendorItemId=93871647795&amp;sourceType=srp_product_ads&amp;clickEventId=ea8de420-2f51-11f1-9e39-c70d284c0fb6&amp;korePlacement=15&amp;koreSubPlacement=3&amp;clickEventId=ea8de420-2f51-11f1-9e39-c70d284c0fb6&amp;korePlacement=15&amp;koreSubPlacement=3&amp;traceId=mniu2uqx</t>
  </si>
  <si>
    <t>EMG 전극</t>
    <phoneticPr fontId="2" type="noConversion"/>
  </si>
  <si>
    <t>-</t>
    <phoneticPr fontId="2" type="noConversion"/>
  </si>
  <si>
    <t>Disposable Surface EMG/ECG/EKG Electrode - 24mm (10 pack) - SparkFun Electronics</t>
  </si>
  <si>
    <t>EMG 테일 전극</t>
    <phoneticPr fontId="2" type="noConversion"/>
  </si>
  <si>
    <t>MyoWare 2.0 Reference Cable</t>
  </si>
  <si>
    <t>MyoWare 2.0 Reference Cable - SparkFun Electronics</t>
  </si>
  <si>
    <t>OLED 디스플레이</t>
    <phoneticPr fontId="2" type="noConversion"/>
  </si>
  <si>
    <t>0.96인치 PN-OLED-W096</t>
  </si>
  <si>
    <t>아두이노용 OLED 디스플레이 모듈, SSD1306 I2C IIC SPI 시리얼, 128x64 LCD, 4 핀 옐로우 블루 화이트 블루, 핀 헤더 납땜, 0.96 인치 - AliExpress 502</t>
  </si>
  <si>
    <t>택트 스위치</t>
    <phoneticPr fontId="2" type="noConversion"/>
  </si>
  <si>
    <t>ITS-1150D(SMD)</t>
  </si>
  <si>
    <t>https://www.devicemart.co.kr/goods/view?no=2219</t>
  </si>
  <si>
    <t>코인 전동모터</t>
    <phoneticPr fontId="2" type="noConversion"/>
  </si>
  <si>
    <t>DC3V Vibration Motors 3VDC(TK1027A03-30)</t>
  </si>
  <si>
    <t>아두이노 진동모터 DC3V Vibration Motors 3VDC 지름10mm 두께2.7mm MOTOR TK1027A03-30 - 기타 | 쿠팡</t>
  </si>
  <si>
    <t>RGB LED 모듈</t>
    <phoneticPr fontId="2" type="noConversion"/>
  </si>
  <si>
    <t>KY0009</t>
  </si>
  <si>
    <t>(PP-A1018) 3색 RGB SMD LED 모듈 KY-009 - CPU | 쿠팡</t>
  </si>
  <si>
    <t>만능기판</t>
  </si>
  <si>
    <t>[LD46] 70 x 300</t>
  </si>
  <si>
    <t>[LD46] 70 x 300 휘어지는 사각만능기판 / 양면 - 기타전기설비부자재 | 쿠팡</t>
  </si>
  <si>
    <t>MOSFET</t>
    <phoneticPr fontId="2" type="noConversion"/>
  </si>
  <si>
    <t>MOSFET 2N7000 (TO-92) 200mA 60V</t>
  </si>
  <si>
    <t>https://www.coupang.com/vp/products/8685350245?itemId=25213519481&amp;vendorItemId=93283630161&amp;q=2N7000+TO92&amp;searchId=695536ea2490581&amp;sourceType=search&amp;itemsCount=36&amp;searchRank=2&amp;rank=2&amp;traceId=mnismo47</t>
  </si>
  <si>
    <t>Flyback Diode</t>
    <phoneticPr fontId="2" type="noConversion"/>
  </si>
  <si>
    <t>1N4148W 100V 150mA</t>
  </si>
  <si>
    <t>https://www.coupang.com/vp/products/1065739514?itemId=2012384057&amp;vendorItemId=93244645732&amp;q=Flyback+%EB%8B%A4%EC%9D%B4%EC%98%A4%EB%93%9C+1N4148&amp;searchId=a90939ed34764&amp;sourceType=search&amp;itemsCount=36&amp;searchRank=2&amp;rank=2&amp;traceId=mnisoem8</t>
  </si>
  <si>
    <t>Resistor</t>
    <phoneticPr fontId="2" type="noConversion"/>
  </si>
  <si>
    <t>1/4W 저항 (J급/100옴)</t>
  </si>
  <si>
    <t>https://www.coupang.com/vp/products/4096635?itemId=20026361&amp;vendorItemId=3029294448&amp;q=%EC%A0%80%ED%95%AD+100%CE%A9+1%2F4W&amp;searchId=540283072783589&amp;sourceType=search&amp;itemsCount=36&amp;searchRank=0&amp;rank=0&amp;traceId=mnisuc00</t>
  </si>
  <si>
    <t>JST 2pin Cable</t>
  </si>
  <si>
    <t>50 세트 미니 마이크로 JST 2.0 pH 2 핀 커넥터 플러그 와이어 케이블 15cm/5.9in - 기타수공구 | 쿠팡</t>
  </si>
  <si>
    <t>Jumper Wire[암-수]</t>
  </si>
  <si>
    <t>아두이노 점퍼선 10cm 40pcs</t>
  </si>
  <si>
    <t>https://www.coupang.com/vp/products/7086329344?itemId=17646760041&amp;vendorItemId=84956041310&amp;sourceType=srp_product_ads&amp;clickEventId=1cf440c0-2f4e-11f1-bfae-872017f54ba2&amp;korePlacement=15&amp;koreSubPlacement=1&amp;clickEventId=1cf440c0-2f4e-11f1-bfae-872017f54ba2&amp;korePlacement=15&amp;koreSubPlacement=1&amp;traceId=mnit5w20</t>
  </si>
  <si>
    <t>Jumper Wire[수-수]</t>
  </si>
  <si>
    <t>https://www.coupang.com/vp/products/9035059287?itemId=26505419280&amp;searchId=feed-b8b05433cc6e4a7caaa2b846d69d3949-3.3.37%3Aview_together_ads-P7086329344&amp;vendorItemId=93480067368&amp;sourceType=SDP_ADS&amp;clickEventId=2a556f40-2f4f-11f1-a9b0-74cf9679ad29</t>
  </si>
  <si>
    <t>Jumper Wire[암-암]</t>
  </si>
  <si>
    <t>https://www.coupang.com/vp/products/9035072327?itemId=26505477037&amp;searchId=feed-253aaa2ff7ea436fb07d60108722831e-3.3.37%3Aview_together_ads-P9035059287&amp;vendorItemId=93480124153&amp;sourceType=SDP_ADS&amp;clickEventId=896908c0-2f4f-11f1-a2fc-891eb6deb3a5</t>
  </si>
  <si>
    <t>열수축 튜브</t>
    <phoneticPr fontId="2" type="noConversion"/>
  </si>
  <si>
    <t>4mm (4파이) 본드수축튜브(2대1) 1.2M</t>
  </si>
  <si>
    <t>https://www.coupang.com/vp/products/7058479002?itemId=17493644454&amp;vendorItemId=84661004352&amp;q=%EC%97%B4%EC%88%98%EC%B6%95+%ED%8A%9C%EB%B8%8C+2m+4m&amp;searchId=fb7a0c0f3171568&amp;sourceType=search&amp;itemsCount=36&amp;searchRank=0&amp;rank=0&amp;traceId=mnitt8lr</t>
  </si>
  <si>
    <t>벨크로 스트랩</t>
  </si>
  <si>
    <t>벨크로 타이 2.5mm 버클형 5m</t>
  </si>
  <si>
    <t>https://www.coupang.com/vp/products/9305799904?itemId=27570369732&amp;vendorItemId=94534229263&amp;q=%EB%B2%A8%ED%81%AC%EB%A1%9C+%EC%8A%A4%ED%8A%B8%EB%9E%A9&amp;searchId=48638fcc3701731&amp;sourceType=search&amp;itemsCount=36&amp;searchRank=15&amp;rank=15&amp;traceId=mniv85xc</t>
  </si>
  <si>
    <t>아대 밴드</t>
  </si>
  <si>
    <t>스케쳐스 스포츠 롱 손목 밴드</t>
  </si>
  <si>
    <t>스케쳐스 스포츠 롱 손목 밴드 - 스포츠아대/밴드 | 쿠팡</t>
  </si>
  <si>
    <t>양면 테이프 폼</t>
    <phoneticPr fontId="2" type="noConversion"/>
  </si>
  <si>
    <t>오공 초강력 폼양면 테이프 백색 24mm x 2.5m</t>
  </si>
  <si>
    <t>https://www.coupang.com/vp/products/41085412?itemId=150013584&amp;vendorItemId=3342614427&amp;q=폼양면테이프&amp;searchId=81b35e943208230&amp;sourceType=search&amp;itemsCount=36&amp;searchRank=6&amp;rank=6&amp;traceId=mnitvseb</t>
  </si>
  <si>
    <t>실리콘 연선</t>
    <phoneticPr fontId="2" type="noConversion"/>
  </si>
  <si>
    <t>피복 전선 10색 3색 배선 10M</t>
  </si>
  <si>
    <t>https://www.coupang.com/vp/products/7461635233?itemId=10046185197&amp;vendorItemId=77329096383&amp;sourceType=srp_product_ads&amp;clickEventId=ce8aa2b0-2f4f-11f1-b5c8-1c9ff97456e2&amp;korePlacement=15&amp;koreSubPlacement=12&amp;clickEventId=ce8aa2b0-2f4f-11f1-b5c8-1c9ff97456e2&amp;korePlacement=15&amp;koreSubPlacement=12&amp;traceId=mnito7qr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</si>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</sst>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₩&quot;#,##0;[Red]\-&quot;₩&quot;#,##0"/>
    <numFmt numFmtId="42" formatCode="_-&quot;₩&quot;* #,##0_-;\-&quot;₩&quot;* #,##0_-;_-&quot;₩&quot;* &quot;-&quot;_-;_-@_-"/>
    <numFmt numFmtId="176" formatCode="_-[$₩-412]* #,##0.00_-;\-[$₩-412]* #,##0.00_-;_-[$₩-412]* &quot;-&quot;??_-;_-@_-"/>
    <numFmt numFmtId="180" formatCode="_-[$₩-412]* #,##0_-;\-[$₩-412]* #,##0_-;_-[$₩-412]* &quot;-&quot;??_-;_-@_-"/>
  </numFmts>
  <fonts count="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2" fontId="0" fillId="0" borderId="0" xfId="1" applyFont="1">
      <alignment vertical="center"/>
    </xf>
    <xf numFmtId="176" fontId="0" fillId="0" borderId="0" xfId="1" applyNumberFormat="1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2">
      <alignment vertical="center"/>
    </xf>
    <xf numFmtId="6" fontId="0" fillId="0" borderId="0" xfId="0" applyNumberFormat="1">
      <alignment vertical="center"/>
    </xf>
    <xf numFmtId="42" fontId="0" fillId="0" borderId="0" xfId="1" applyNumberFormat="1" applyFont="1">
      <alignment vertical="center"/>
    </xf>
    <xf numFmtId="42" fontId="0" fillId="0" borderId="0" xfId="0" applyNumberFormat="1">
      <alignment vertical="center"/>
    </xf>
    <xf numFmtId="6" fontId="0" fillId="0" borderId="0" xfId="1" applyNumberFormat="1" applyFont="1">
      <alignment vertical="center"/>
    </xf>
    <xf numFmtId="180" fontId="0" fillId="0" borderId="0" xfId="1" applyNumberFormat="1" applyFont="1">
      <alignment vertical="center"/>
    </xf>
    <xf numFmtId="0" fontId="5" fillId="0" borderId="0" xfId="0" applyFont="1">
      <alignment vertical="center"/>
    </xf>
  </cellXfs>
  <cellStyles count="3">
    <cellStyle name="Hyperlink" xfId="2" xr:uid="{00000000-000B-0000-0000-000008000000}"/>
    <cellStyle name="통화 [0]" xfId="1" builtinId="7"/>
    <cellStyle name="표준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32" formatCode="_-&quot;₩&quot;* #,##0_-;\-&quot;₩&quot;* #,##0_-;_-&quot;₩&quot;* &quot;-&quot;_-;_-@_-"/>
    </dxf>
    <dxf>
      <numFmt numFmtId="32" formatCode="_-&quot;₩&quot;* #,##0_-;\-&quot;₩&quot;* #,##0_-;_-&quot;₩&quot;* &quot;-&quot;_-;_-@_-"/>
    </dxf>
    <dxf>
      <numFmt numFmtId="32" formatCode="_-&quot;₩&quot;* #,##0_-;\-&quot;₩&quot;* #,##0_-;_-&quot;₩&quot;* &quot;-&quot;_-;_-@_-"/>
    </dxf>
    <dxf>
      <numFmt numFmtId="32" formatCode="_-&quot;₩&quot;* #,##0_-;\-&quot;₩&quot;* #,##0_-;_-&quot;₩&quot;* &quot;-&quot;_-;_-@_-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3D9E8C-7EE2-4369-AB39-F7BC87AE7DB3}" name="표2" displayName="표2" ref="B2:J33" totalsRowCount="1" headerRowDxfId="8">
  <autoFilter ref="B2:J32" xr:uid="{173D9E8C-7EE2-4369-AB39-F7BC87AE7DB3}"/>
  <tableColumns count="9">
    <tableColumn id="1" xr3:uid="{07C17D6B-4BB3-4CD6-91D2-7A511C39FEF6}" name="#"/>
    <tableColumn id="2" xr3:uid="{BA029641-1375-4395-BBDC-3D4413838221}" name="부품명" dataDxfId="6" totalsRowDxfId="7"/>
    <tableColumn id="3" xr3:uid="{8CEF6E0C-02F5-4440-AECE-01F6CA48ABEA}" name="모델"/>
    <tableColumn id="4" xr3:uid="{12030804-C150-4511-A12B-D6906164B57F}" name="수량" dataDxfId="4" totalsRowDxfId="5"/>
    <tableColumn id="5" xr3:uid="{B9811532-E793-4261-9761-CCC7B7D29C13}" name="단가"/>
    <tableColumn id="8" xr3:uid="{232EC154-B2BE-495F-9D28-7A14975B21AD}" name="배송비"/>
    <tableColumn id="6" xr3:uid="{3C2DEA9E-96A6-4BCD-80FA-DC34D25FDFE8}" name="소계" totalsRowFunction="custom" dataDxfId="2" totalsRowDxfId="3">
      <calculatedColumnFormula>E3*F3+표2[[#This Row],[배송비]]</calculatedColumnFormula>
      <totalsRowFormula>SUM(H3:H27)</totalsRowFormula>
    </tableColumn>
    <tableColumn id="9" xr3:uid="{3934D65F-8C1A-47F8-9CE7-11C12100837D}" name="여유 비용" totalsRowFunction="custom" dataDxfId="0" totalsRowDxfId="1" dataCellStyle="통화 [0]">
      <calculatedColumnFormula>표2[[#This Row],[소계]]*1.2</calculatedColumnFormula>
      <totalsRowFormula>SUM(I3:I27)</totalsRowFormula>
    </tableColumn>
    <tableColumn id="7" xr3:uid="{51581D6D-8099-4D70-827F-E6B7A36D9374}" name="구매처"/>
  </tableColumns>
  <tableStyleInfo name="TableStyleLight14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회로">
  <a:themeElements>
    <a:clrScheme name="회로">
      <a:dk1>
        <a:sysClr val="windowText" lastClr="000000"/>
      </a:dk1>
      <a:lt1>
        <a:sysClr val="window" lastClr="FFFFFF"/>
      </a:lt1>
      <a:dk2>
        <a:srgbClr val="134770"/>
      </a:dk2>
      <a:lt2>
        <a:srgbClr val="82FFFF"/>
      </a:lt2>
      <a:accent1>
        <a:srgbClr val="9ACD4C"/>
      </a:accent1>
      <a:accent2>
        <a:srgbClr val="FAA93A"/>
      </a:accent2>
      <a:accent3>
        <a:srgbClr val="D35940"/>
      </a:accent3>
      <a:accent4>
        <a:srgbClr val="B258D3"/>
      </a:accent4>
      <a:accent5>
        <a:srgbClr val="63A0CC"/>
      </a:accent5>
      <a:accent6>
        <a:srgbClr val="8AC4A7"/>
      </a:accent6>
      <a:hlink>
        <a:srgbClr val="B8FA56"/>
      </a:hlink>
      <a:folHlink>
        <a:srgbClr val="7AF8CC"/>
      </a:folHlink>
    </a:clrScheme>
    <a:fontScheme name="회로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회로">
      <a:fillStyleLst>
        <a:solidFill>
          <a:schemeClr val="phClr"/>
        </a:solidFill>
        <a:gradFill rotWithShape="1">
          <a:gsLst>
            <a:gs pos="0">
              <a:schemeClr val="phClr">
                <a:tint val="58000"/>
                <a:satMod val="108000"/>
                <a:lumMod val="110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040000" scaled="0"/>
        </a:gradFill>
        <a:gradFill rotWithShape="1">
          <a:gsLst>
            <a:gs pos="0">
              <a:schemeClr val="phClr">
                <a:tint val="94000"/>
                <a:satMod val="105000"/>
                <a:lumMod val="102000"/>
              </a:schemeClr>
            </a:gs>
            <a:gs pos="100000">
              <a:schemeClr val="phClr">
                <a:shade val="74000"/>
                <a:satMod val="128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94000"/>
                <a:satMod val="148000"/>
                <a:lumMod val="150000"/>
              </a:schemeClr>
            </a:gs>
            <a:gs pos="100000">
              <a:schemeClr val="phClr">
                <a:shade val="92000"/>
                <a:hueMod val="104000"/>
                <a:satMod val="140000"/>
                <a:lumMod val="68000"/>
              </a:schemeClr>
            </a:gs>
          </a:gsLst>
          <a:lin ang="5040000" scaled="0"/>
        </a:gradFill>
        <a:blipFill>
          <a:blip xmlns:r="http://schemas.openxmlformats.org/officeDocument/2006/relationships" r:embed="rId1">
            <a:duotone>
              <a:schemeClr val="phClr">
                <a:shade val="88000"/>
                <a:hueMod val="106000"/>
                <a:satMod val="140000"/>
                <a:lumMod val="54000"/>
              </a:schemeClr>
              <a:schemeClr val="phClr">
                <a:tint val="98000"/>
                <a:hueMod val="90000"/>
                <a:satMod val="150000"/>
                <a:lumMod val="16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ircuit" id="{0AC2F7E7-15F5-431C-B2A2-456FE929F56C}" vid="{0911B802-464C-4241-8DD9-B60FF88E379F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parkfun.com/myoware-2-muscle-sensor.html" TargetMode="External"/><Relationship Id="rId13" Type="http://schemas.openxmlformats.org/officeDocument/2006/relationships/hyperlink" Target="https://www.coupang.com/vp/products/7461635233?itemId=10046185197&amp;vendorItemId=77329096383&amp;sourceType=srp_product_ads&amp;clickEventId=ce8aa2b0-2f4f-11f1-b5c8-1c9ff97456e2&amp;korePlacement=15&amp;koreSubPlacement=12&amp;clickEventId=ce8aa2b0-2f4f-11f1-b5c8-1c9ff97456e2&amp;korePlacement=15&amp;koreSubPlacement=12&amp;traceId=mnito7qr" TargetMode="External"/><Relationship Id="rId18" Type="http://schemas.openxmlformats.org/officeDocument/2006/relationships/hyperlink" Target="https://www.coupang.com/vp/products/6957320374?itemId=16924148709&amp;vendorItemId=84101967347&amp;q=JST+2pin+Cable&amp;searchId=e49aab253710892&amp;sourceType=search&amp;itemsCount=36&amp;searchRank=12&amp;rank=12&amp;traceId=mniv4k3j" TargetMode="External"/><Relationship Id="rId26" Type="http://schemas.openxmlformats.org/officeDocument/2006/relationships/table" Target="../tables/table1.xml"/><Relationship Id="rId3" Type="http://schemas.openxmlformats.org/officeDocument/2006/relationships/hyperlink" Target="https://www.coupang.com/vp/products/1065739514?itemId=2012384057&amp;vendorItemId=93244645732&amp;q=Flyback+%EB%8B%A4%EC%9D%B4%EC%98%A4%EB%93%9C+1N4148&amp;searchId=a90939ed34764&amp;sourceType=search&amp;itemsCount=36&amp;searchRank=2&amp;rank=2&amp;traceId=mnisoem8" TargetMode="External"/><Relationship Id="rId21" Type="http://schemas.openxmlformats.org/officeDocument/2006/relationships/hyperlink" Target="https://ko.aliexpress.com/item/1005008492002266.html?spm=a2g0o.cart.0.0.688038datgTtNG&amp;mp=1&amp;pdp_npi=6%40dis%21KRW%21KRW%2020686%21KRW%2014468%21%21KRW%2014468%21%21%21%400b1bf20a17752115893984618e53f7%2112000045384697340%21ct%21KR%216542068629%21%211%210%21&amp;gatewayAdapt=glo2kor" TargetMode="External"/><Relationship Id="rId7" Type="http://schemas.openxmlformats.org/officeDocument/2006/relationships/hyperlink" Target="https://www.sparkfun.com/myoware-2-0-reference-cable.html" TargetMode="External"/><Relationship Id="rId12" Type="http://schemas.openxmlformats.org/officeDocument/2006/relationships/hyperlink" Target="https://www.coupang.com/vp/products/9035072327?itemId=26505477037&amp;searchId=feed-253aaa2ff7ea436fb07d60108722831e-3.3.37%3Aview_together_ads-P9035059287&amp;vendorItemId=93480124153&amp;sourceType=SDP_ADS&amp;clickEventId=896908c0-2f4f-11f1-a2fc-891eb6deb3a5" TargetMode="External"/><Relationship Id="rId17" Type="http://schemas.openxmlformats.org/officeDocument/2006/relationships/hyperlink" Target="https://www.coupang.com/vp/products/9183280618?itemId=27085369025&amp;vendorItemId=94053618819&amp;sourceType=sdp_carousel_3_ads&amp;clickEventId=da7b10e0-2f55-11f1-b6ea-7271351c5286&amp;templateId=7403" TargetMode="External"/><Relationship Id="rId25" Type="http://schemas.openxmlformats.org/officeDocument/2006/relationships/hyperlink" Target="https://ko.aliexpress.com/item/1005007389730469.html?spm=a2g0o.order_list.order_list_main.19.3924140f0tQYNw&amp;gatewayAdapt=glo2kor" TargetMode="External"/><Relationship Id="rId2" Type="http://schemas.openxmlformats.org/officeDocument/2006/relationships/hyperlink" Target="https://www.coupang.com/vp/products/8685350245?itemId=25213519481&amp;vendorItemId=93283630161&amp;q=2N7000+TO92&amp;searchId=695536ea2490581&amp;sourceType=search&amp;itemsCount=36&amp;searchRank=2&amp;rank=2&amp;traceId=mnismo47" TargetMode="External"/><Relationship Id="rId16" Type="http://schemas.openxmlformats.org/officeDocument/2006/relationships/hyperlink" Target="https://www.coupang.com/vp/products/8454655434?itemId=23929154673&amp;vendorItemId=90979025549&amp;q=%ED%94%8C%EB%A0%89%EC%84%9C%EB%B8%94+%EB%A7%8C%EB%8A%A5%EA%B8%B0%ED%8C%90&amp;searchId=fd5c51a43616373&amp;sourceType=search&amp;itemsCount=36&amp;searchRank=0&amp;rank=0&amp;traceId=mniuuyoh" TargetMode="External"/><Relationship Id="rId20" Type="http://schemas.openxmlformats.org/officeDocument/2006/relationships/hyperlink" Target="https://ko.aliexpress.com/item/1005009819241814.html?spm=a2g0o.cart.0.0.688038datgTtNG&amp;mp=1&amp;pdp_npi=6%40dis%21KRW%21KRW%2015203%21KRW%207768%21%21KRW%207768%21%21%21%400b1bf20a17752115893984618e53f7%2112000050270752960%21ct%21KR%216542068629%21%211%210%21&amp;gatewayAdapt=glo2kor" TargetMode="External"/><Relationship Id="rId1" Type="http://schemas.openxmlformats.org/officeDocument/2006/relationships/hyperlink" Target="https://www.devicemart.co.kr/goods/view?no=2219" TargetMode="External"/><Relationship Id="rId6" Type="http://schemas.openxmlformats.org/officeDocument/2006/relationships/hyperlink" Target="https://www.coupang.com/vp/products/9090934028?itemId=26715750716&amp;vendorItemId=93477933168&amp;q=Li-Po%203.7V%20500mAh&amp;searchId=59320d5c3272454&amp;sourceType=search&amp;itemsCount=36&amp;searchRank=0&amp;rank=0&amp;traceId=mniu7wml" TargetMode="External"/><Relationship Id="rId11" Type="http://schemas.openxmlformats.org/officeDocument/2006/relationships/hyperlink" Target="https://www.coupang.com/vp/products/9035059287?itemId=26505419280&amp;searchId=feed-b8b05433cc6e4a7caaa2b846d69d3949-3.3.37%3Aview_together_ads-P7086329344&amp;vendorItemId=93480067368&amp;sourceType=SDP_ADS&amp;clickEventId=2a556f40-2f4f-11f1-a9b0-74cf9679ad29" TargetMode="External"/><Relationship Id="rId24" Type="http://schemas.openxmlformats.org/officeDocument/2006/relationships/hyperlink" Target="https://www.coupang.com/vp/products/1123124651?itemId=2089041037&amp;vendorItemId=70088019359&amp;sourceType=srp_product_ads&amp;clickEventId=dd156e00-2f59-11f1-a992-26b3f3dd97ab&amp;korePlacement=15&amp;koreSubPlacement=1&amp;clickEventId=dd156e00-2f59-11f1-a992-26b3f3dd97ab&amp;korePlacement=15&amp;koreSubPlacement=1&amp;traceId=mniw2ou2" TargetMode="External"/><Relationship Id="rId5" Type="http://schemas.openxmlformats.org/officeDocument/2006/relationships/hyperlink" Target="https://www.coupang.com/vp/products/41085412?itemId=150013584&amp;vendorItemId=3342614427&amp;q=&#54268;&#50577;&#47732;&#53580;&#51060;&#54532;&amp;searchId=81b35e943208230&amp;sourceType=search&amp;itemsCount=36&amp;searchRank=6&amp;rank=6&amp;traceId=mnitvseb" TargetMode="External"/><Relationship Id="rId15" Type="http://schemas.openxmlformats.org/officeDocument/2006/relationships/hyperlink" Target="https://ko.aliexpress.com/item/1005008604349573.html?spm=a2g0o.productlist.main.2.14095347JXxyP1&amp;algo_pvid=7d2747bb-2595-4754-8bb3-22e2ae2182be&amp;algo_exp_id=7d2747bb-2595-4754-8bb3-22e2ae2182be-1&amp;pdp_ext_f=%7B%22order%22%3A%22686%22%2C%22eval%22%3A%221%22%2C%22fromPage%22%3A%22search%22%7D&amp;pdp_npi=6%40dis%21KRW%216759%211539%21%21%2129.93%216.82%21%4021010d9017752141226941961e021b%2112000045917032798%21sea%21KR%216542068629%21ABX%211%210%21n_tag%3A-29910%3Bd%3A75334cce%3Bm03_new_user%3A-29895%3BpisId%3A5000000203687443&amp;curPageLogUid=arXGx9JuTULT&amp;utparam-url=scene%3Asearch%7Cquery_from%3A%7Cx_object_id%3A1005008604349573%7C_p_origin_prod%3A" TargetMode="External"/><Relationship Id="rId23" Type="http://schemas.openxmlformats.org/officeDocument/2006/relationships/hyperlink" Target="https://www.coupang.com/vp/products/9162332055?itemId=26990397974&amp;vendorItemId=93959144644&amp;q=SMD+LED+%EB%AA%A8%EB%93%88&amp;searchId=95005ea83964405&amp;sourceType=search&amp;itemsCount=36&amp;searchRank=2&amp;rank=2&amp;traceId=mnivu9dw" TargetMode="External"/><Relationship Id="rId10" Type="http://schemas.openxmlformats.org/officeDocument/2006/relationships/hyperlink" Target="https://www.coupang.com/vp/products/7086329344?itemId=17646760041&amp;vendorItemId=84956041310&amp;sourceType=srp_product_ads&amp;clickEventId=1cf440c0-2f4e-11f1-bfae-872017f54ba2&amp;korePlacement=15&amp;koreSubPlacement=1&amp;clickEventId=1cf440c0-2f4e-11f1-bfae-872017f54ba2&amp;korePlacement=15&amp;koreSubPlacement=1&amp;traceId=mnit5w20" TargetMode="External"/><Relationship Id="rId19" Type="http://schemas.openxmlformats.org/officeDocument/2006/relationships/hyperlink" Target="https://www.coupang.com/vp/products/9305799904?itemId=27570369732&amp;vendorItemId=94534229263&amp;q=%EB%B2%A8%ED%81%AC%EB%A1%9C+%EC%8A%A4%ED%8A%B8%EB%9E%A9&amp;searchId=48638fcc3701731&amp;sourceType=search&amp;itemsCount=36&amp;searchRank=15&amp;rank=15&amp;traceId=mniv85xc" TargetMode="External"/><Relationship Id="rId4" Type="http://schemas.openxmlformats.org/officeDocument/2006/relationships/hyperlink" Target="https://www.coupang.com/vp/products/9139130017?itemId=26902219903&amp;vendorItemId=93871647795&amp;sourceType=srp_product_ads&amp;clickEventId=ea8de420-2f51-11f1-9e39-c70d284c0fb6&amp;korePlacement=15&amp;koreSubPlacement=3&amp;clickEventId=ea8de420-2f51-11f1-9e39-c70d284c0fb6&amp;korePlacement=15&amp;koreSubPlacement=3&amp;traceId=mniu2uqx" TargetMode="External"/><Relationship Id="rId9" Type="http://schemas.openxmlformats.org/officeDocument/2006/relationships/hyperlink" Target="https://www.coupang.com/vp/products/4096635?itemId=20026361&amp;vendorItemId=3029294448&amp;q=%EC%A0%80%ED%95%AD+100%CE%A9+1%2F4W&amp;searchId=540283072783589&amp;sourceType=search&amp;itemsCount=36&amp;searchRank=0&amp;rank=0&amp;traceId=mnisuc00" TargetMode="External"/><Relationship Id="rId14" Type="http://schemas.openxmlformats.org/officeDocument/2006/relationships/hyperlink" Target="https://www.coupang.com/vp/products/7058479002?itemId=17493644454&amp;vendorItemId=84661004352&amp;q=%EC%97%B4%EC%88%98%EC%B6%95+%ED%8A%9C%EB%B8%8C+2m+4m&amp;searchId=fb7a0c0f3171568&amp;sourceType=search&amp;itemsCount=36&amp;searchRank=0&amp;rank=0&amp;traceId=mnitt8lr" TargetMode="External"/><Relationship Id="rId22" Type="http://schemas.openxmlformats.org/officeDocument/2006/relationships/hyperlink" Target="https://www.sparkfun.com/disposable-surface-emg-ecg-ekg-electrode-24mm-10-pack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B6642-3207-406F-8263-DF160943DE41}">
  <dimension ref="B2:J33"/>
  <sheetViews>
    <sheetView tabSelected="1" zoomScale="64" zoomScaleNormal="40" workbookViewId="0">
      <selection activeCell="D15" sqref="D15"/>
    </sheetView>
  </sheetViews>
  <sheetFormatPr defaultRowHeight="16.5" customHeight="1"/>
  <cols>
    <col min="3" max="3" width="20.25" style="2" customWidth="1"/>
    <col min="4" max="4" width="45.875" customWidth="1"/>
    <col min="5" max="5" width="11.875" style="1" customWidth="1"/>
    <col min="6" max="7" width="13.625" customWidth="1"/>
    <col min="8" max="8" width="13.125" customWidth="1"/>
    <col min="9" max="9" width="16.875" customWidth="1"/>
    <col min="10" max="10" width="45.375" customWidth="1"/>
  </cols>
  <sheetData>
    <row r="2" spans="2:10">
      <c r="B2" s="2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>
      <c r="B3" s="5">
        <v>1.1000000000000001</v>
      </c>
      <c r="C3" s="2" t="s">
        <v>9</v>
      </c>
      <c r="D3" t="s">
        <v>10</v>
      </c>
      <c r="E3" s="1">
        <v>1</v>
      </c>
      <c r="F3" s="3">
        <v>26427</v>
      </c>
      <c r="G3" s="3">
        <v>0</v>
      </c>
      <c r="H3" s="3">
        <f>E3*F3+표2[[#This Row],[배송비]]</f>
        <v>26427</v>
      </c>
      <c r="I3" s="3">
        <f>표2[[#This Row],[소계]]*1.2</f>
        <v>31712.399999999998</v>
      </c>
      <c r="J3" s="6" t="s">
        <v>11</v>
      </c>
    </row>
    <row r="4" spans="2:10">
      <c r="B4" s="5">
        <v>1.2</v>
      </c>
      <c r="C4" s="2" t="s">
        <v>9</v>
      </c>
      <c r="D4" t="s">
        <v>12</v>
      </c>
      <c r="E4" s="1">
        <v>1</v>
      </c>
      <c r="F4" s="3">
        <v>12750</v>
      </c>
      <c r="G4" s="3">
        <v>0</v>
      </c>
      <c r="H4" s="3">
        <f>E4*F4+표2[[#This Row],[배송비]]</f>
        <v>12750</v>
      </c>
      <c r="I4" s="3">
        <f>표2[[#This Row],[소계]]*1.2</f>
        <v>15300</v>
      </c>
      <c r="J4" s="6" t="s">
        <v>13</v>
      </c>
    </row>
    <row r="5" spans="2:10">
      <c r="B5" s="5">
        <v>2</v>
      </c>
      <c r="C5" s="2" t="s">
        <v>14</v>
      </c>
      <c r="D5" t="s">
        <v>15</v>
      </c>
      <c r="E5" s="1">
        <v>2</v>
      </c>
      <c r="F5" s="3">
        <f>42.95*1550</f>
        <v>66572.5</v>
      </c>
      <c r="G5" s="3">
        <f>26.61*1550</f>
        <v>41245.5</v>
      </c>
      <c r="H5" s="3">
        <f>E5*F5+표2[[#This Row],[배송비]]</f>
        <v>174390.5</v>
      </c>
      <c r="I5" s="3">
        <f>표2[[#This Row],[소계]]*1.2</f>
        <v>209268.6</v>
      </c>
      <c r="J5" s="6" t="s">
        <v>16</v>
      </c>
    </row>
    <row r="6" spans="2:10">
      <c r="B6" s="5">
        <v>3</v>
      </c>
      <c r="C6" s="2" t="s">
        <v>17</v>
      </c>
      <c r="D6" t="s">
        <v>18</v>
      </c>
      <c r="E6" s="1">
        <v>2</v>
      </c>
      <c r="F6" s="3">
        <v>8290</v>
      </c>
      <c r="G6" s="3">
        <v>0</v>
      </c>
      <c r="H6" s="3">
        <f>E6*F6+표2[[#This Row],[배송비]]</f>
        <v>16580</v>
      </c>
      <c r="I6" s="3">
        <f>표2[[#This Row],[소계]]*1.2</f>
        <v>19896</v>
      </c>
      <c r="J6" s="6" t="s">
        <v>19</v>
      </c>
    </row>
    <row r="7" spans="2:10">
      <c r="B7" s="5">
        <v>4.0999999999999996</v>
      </c>
      <c r="C7" s="2" t="s">
        <v>20</v>
      </c>
      <c r="D7" t="s">
        <v>21</v>
      </c>
      <c r="E7" s="1">
        <v>5</v>
      </c>
      <c r="F7" s="3">
        <v>3400</v>
      </c>
      <c r="G7" s="3">
        <v>3000</v>
      </c>
      <c r="H7" s="3">
        <f>E7*F7+표2[[#This Row],[배송비]]</f>
        <v>20000</v>
      </c>
      <c r="I7" s="3">
        <f>표2[[#This Row],[소계]]*1.2</f>
        <v>24000</v>
      </c>
      <c r="J7" s="6" t="s">
        <v>22</v>
      </c>
    </row>
    <row r="8" spans="2:10">
      <c r="B8" s="2">
        <v>4.2</v>
      </c>
      <c r="C8" s="2" t="s">
        <v>23</v>
      </c>
      <c r="D8" t="s">
        <v>24</v>
      </c>
      <c r="E8" s="1">
        <v>1</v>
      </c>
      <c r="F8" s="3">
        <v>5500</v>
      </c>
      <c r="G8" s="3">
        <v>3000</v>
      </c>
      <c r="H8" s="3">
        <f>E8*F8+표2[[#This Row],[배송비]]</f>
        <v>8500</v>
      </c>
      <c r="I8" s="3">
        <f>표2[[#This Row],[소계]]*1.2</f>
        <v>10200</v>
      </c>
      <c r="J8" s="6" t="s">
        <v>25</v>
      </c>
    </row>
    <row r="9" spans="2:10">
      <c r="B9" s="5">
        <v>5.0999999999999996</v>
      </c>
      <c r="C9" s="2" t="s">
        <v>26</v>
      </c>
      <c r="D9" s="1" t="s">
        <v>27</v>
      </c>
      <c r="E9" s="1">
        <v>1</v>
      </c>
      <c r="F9" s="11">
        <f>9.95*1550</f>
        <v>15422.499999999998</v>
      </c>
      <c r="G9" s="4">
        <v>0</v>
      </c>
      <c r="H9" s="3">
        <f>E9*F9+표2[[#This Row],[배송비]]</f>
        <v>15422.499999999998</v>
      </c>
      <c r="I9" s="3">
        <f>표2[[#This Row],[소계]]*1.2</f>
        <v>18506.999999999996</v>
      </c>
      <c r="J9" s="6" t="s">
        <v>28</v>
      </c>
    </row>
    <row r="10" spans="2:10">
      <c r="B10" s="5">
        <v>5.2</v>
      </c>
      <c r="C10" s="2" t="s">
        <v>29</v>
      </c>
      <c r="D10" s="2" t="s">
        <v>30</v>
      </c>
      <c r="E10" s="1">
        <v>2</v>
      </c>
      <c r="F10" s="11">
        <f>1.25*1550</f>
        <v>1937.5</v>
      </c>
      <c r="G10" s="4">
        <v>0</v>
      </c>
      <c r="H10" s="3">
        <f>E10*표2[[#This Row],[단가]]+표2[[#This Row],[배송비]]</f>
        <v>3875</v>
      </c>
      <c r="I10" s="3">
        <f>표2[[#This Row],[소계]]*1.2</f>
        <v>4650</v>
      </c>
      <c r="J10" s="6" t="s">
        <v>31</v>
      </c>
    </row>
    <row r="11" spans="2:10">
      <c r="B11" s="5">
        <v>6</v>
      </c>
      <c r="C11" s="2" t="s">
        <v>32</v>
      </c>
      <c r="D11" t="s">
        <v>33</v>
      </c>
      <c r="E11" s="1">
        <v>2</v>
      </c>
      <c r="F11" s="3">
        <v>500</v>
      </c>
      <c r="G11" s="3">
        <v>0</v>
      </c>
      <c r="H11" s="3">
        <f>E11*F11+표2[[#This Row],[배송비]]</f>
        <v>1000</v>
      </c>
      <c r="I11" s="3">
        <f>표2[[#This Row],[소계]]*1.2</f>
        <v>1200</v>
      </c>
      <c r="J11" s="6" t="s">
        <v>34</v>
      </c>
    </row>
    <row r="12" spans="2:10">
      <c r="B12" s="5">
        <v>7</v>
      </c>
      <c r="C12" s="2" t="s">
        <v>35</v>
      </c>
      <c r="D12" t="s">
        <v>36</v>
      </c>
      <c r="E12" s="1">
        <v>1</v>
      </c>
      <c r="F12" s="8">
        <v>990</v>
      </c>
      <c r="G12" s="8">
        <v>2700</v>
      </c>
      <c r="H12" s="3">
        <f>E12*F12+표2[[#This Row],[배송비]]</f>
        <v>3690</v>
      </c>
      <c r="I12" s="3">
        <f>표2[[#This Row],[소계]]*1.2</f>
        <v>4428</v>
      </c>
      <c r="J12" s="6" t="s">
        <v>37</v>
      </c>
    </row>
    <row r="13" spans="2:10">
      <c r="B13" s="5">
        <v>8</v>
      </c>
      <c r="C13" s="2" t="s">
        <v>38</v>
      </c>
      <c r="D13" t="s">
        <v>39</v>
      </c>
      <c r="E13" s="1">
        <v>2</v>
      </c>
      <c r="F13" s="8">
        <v>3100</v>
      </c>
      <c r="G13" s="8">
        <v>3000</v>
      </c>
      <c r="H13" s="3">
        <f>E13*F13+표2[[#This Row],[배송비]]</f>
        <v>9200</v>
      </c>
      <c r="I13" s="3">
        <f>표2[[#This Row],[소계]]*1.2</f>
        <v>11040</v>
      </c>
      <c r="J13" s="6" t="s">
        <v>40</v>
      </c>
    </row>
    <row r="14" spans="2:10">
      <c r="B14" s="5">
        <v>9</v>
      </c>
      <c r="C14" s="2" t="s">
        <v>41</v>
      </c>
      <c r="D14" t="s">
        <v>42</v>
      </c>
      <c r="E14" s="1">
        <v>2</v>
      </c>
      <c r="F14" s="8">
        <v>3000</v>
      </c>
      <c r="G14" s="8">
        <v>3000</v>
      </c>
      <c r="H14" s="3">
        <f>E14*F14+표2[[#This Row],[배송비]]</f>
        <v>9000</v>
      </c>
      <c r="I14" s="3">
        <f>표2[[#This Row],[소계]]*1.2</f>
        <v>10800</v>
      </c>
      <c r="J14" s="6" t="s">
        <v>43</v>
      </c>
    </row>
    <row r="15" spans="2:10">
      <c r="B15" s="5">
        <v>10</v>
      </c>
      <c r="C15" s="2" t="s">
        <v>44</v>
      </c>
      <c r="D15" t="s">
        <v>45</v>
      </c>
      <c r="E15" s="1">
        <v>1</v>
      </c>
      <c r="F15" s="8">
        <v>14580</v>
      </c>
      <c r="G15" s="10">
        <v>3000</v>
      </c>
      <c r="H15" s="3">
        <f>E15*F15+표2[[#This Row],[배송비]]</f>
        <v>17580</v>
      </c>
      <c r="I15" s="3">
        <f>표2[[#This Row],[소계]]*1.2</f>
        <v>21096</v>
      </c>
      <c r="J15" s="6" t="s">
        <v>46</v>
      </c>
    </row>
    <row r="16" spans="2:10">
      <c r="B16" s="5">
        <v>11</v>
      </c>
      <c r="C16" s="2" t="s">
        <v>47</v>
      </c>
      <c r="D16" t="s">
        <v>48</v>
      </c>
      <c r="E16" s="1">
        <v>1</v>
      </c>
      <c r="F16" s="8">
        <v>0</v>
      </c>
      <c r="G16" s="8"/>
      <c r="H16" s="3">
        <f>E16*F16+표2[[#This Row],[배송비]]</f>
        <v>0</v>
      </c>
      <c r="I16" s="3">
        <f>표2[[#This Row],[소계]]*1.2</f>
        <v>0</v>
      </c>
      <c r="J16" s="6" t="s">
        <v>49</v>
      </c>
    </row>
    <row r="17" spans="2:10">
      <c r="B17" s="5">
        <v>12</v>
      </c>
      <c r="C17" s="2" t="s">
        <v>50</v>
      </c>
      <c r="D17" t="s">
        <v>51</v>
      </c>
      <c r="E17" s="1">
        <v>2</v>
      </c>
      <c r="F17" s="8">
        <v>100</v>
      </c>
      <c r="G17" s="10">
        <v>3000</v>
      </c>
      <c r="H17" s="3">
        <f>E17*F17+표2[[#This Row],[배송비]]</f>
        <v>3200</v>
      </c>
      <c r="I17" s="3">
        <f>표2[[#This Row],[소계]]*1.2</f>
        <v>3840</v>
      </c>
      <c r="J17" s="6" t="s">
        <v>52</v>
      </c>
    </row>
    <row r="18" spans="2:10">
      <c r="B18" s="5">
        <v>13</v>
      </c>
      <c r="C18" s="2" t="s">
        <v>53</v>
      </c>
      <c r="D18" t="s">
        <v>54</v>
      </c>
      <c r="E18" s="1">
        <v>2</v>
      </c>
      <c r="F18" s="9">
        <v>80</v>
      </c>
      <c r="G18" s="7">
        <v>2500</v>
      </c>
      <c r="H18" s="3">
        <f>E18*F18+표2[[#This Row],[배송비]]</f>
        <v>2660</v>
      </c>
      <c r="I18" s="3">
        <f>표2[[#This Row],[소계]]*1.2</f>
        <v>3192</v>
      </c>
      <c r="J18" s="6" t="s">
        <v>55</v>
      </c>
    </row>
    <row r="19" spans="2:10">
      <c r="B19" s="5">
        <v>14</v>
      </c>
      <c r="C19" s="2" t="s">
        <v>56</v>
      </c>
      <c r="E19" s="1">
        <v>1</v>
      </c>
      <c r="F19" s="9">
        <v>11160</v>
      </c>
      <c r="G19" s="7">
        <v>3000</v>
      </c>
      <c r="H19" s="3">
        <f>E19*F19+표2[[#This Row],[배송비]]</f>
        <v>14160</v>
      </c>
      <c r="I19" s="3">
        <f>표2[[#This Row],[소계]]*1.2</f>
        <v>16992</v>
      </c>
      <c r="J19" s="6" t="s">
        <v>57</v>
      </c>
    </row>
    <row r="20" spans="2:10">
      <c r="B20" s="5">
        <v>15.1</v>
      </c>
      <c r="C20" s="2" t="s">
        <v>58</v>
      </c>
      <c r="D20" t="s">
        <v>59</v>
      </c>
      <c r="E20" s="1">
        <v>1</v>
      </c>
      <c r="F20" s="8">
        <v>800</v>
      </c>
      <c r="G20" s="10">
        <v>3000</v>
      </c>
      <c r="H20" s="3">
        <f>E20*F20+표2[[#This Row],[배송비]]</f>
        <v>3800</v>
      </c>
      <c r="I20" s="3">
        <f>표2[[#This Row],[소계]]*1.2</f>
        <v>4560</v>
      </c>
      <c r="J20" s="6" t="s">
        <v>60</v>
      </c>
    </row>
    <row r="21" spans="2:10">
      <c r="B21" s="5">
        <v>15.2</v>
      </c>
      <c r="C21" s="2" t="s">
        <v>61</v>
      </c>
      <c r="D21" s="12" t="s">
        <v>59</v>
      </c>
      <c r="E21" s="1">
        <v>1</v>
      </c>
      <c r="F21" s="8">
        <v>850</v>
      </c>
      <c r="G21" s="10">
        <v>3000</v>
      </c>
      <c r="H21" s="3">
        <f>E21*F21+표2[[#This Row],[배송비]]</f>
        <v>3850</v>
      </c>
      <c r="I21" s="3">
        <f>표2[[#This Row],[소계]]*1.2</f>
        <v>4620</v>
      </c>
      <c r="J21" s="6" t="s">
        <v>62</v>
      </c>
    </row>
    <row r="22" spans="2:10">
      <c r="B22" s="5">
        <v>15.3</v>
      </c>
      <c r="C22" s="2" t="s">
        <v>63</v>
      </c>
      <c r="D22" s="12" t="s">
        <v>59</v>
      </c>
      <c r="E22" s="1">
        <v>1</v>
      </c>
      <c r="F22" s="8">
        <v>850</v>
      </c>
      <c r="G22" s="10">
        <v>3000</v>
      </c>
      <c r="H22" s="3">
        <f>E22*F22+표2[[#This Row],[배송비]]</f>
        <v>3850</v>
      </c>
      <c r="I22" s="3">
        <f>표2[[#This Row],[소계]]*1.2</f>
        <v>4620</v>
      </c>
      <c r="J22" s="6" t="s">
        <v>64</v>
      </c>
    </row>
    <row r="23" spans="2:10">
      <c r="B23" s="5">
        <v>16</v>
      </c>
      <c r="C23" s="2" t="s">
        <v>65</v>
      </c>
      <c r="D23" t="s">
        <v>66</v>
      </c>
      <c r="E23" s="1">
        <v>1</v>
      </c>
      <c r="F23" s="8">
        <v>680</v>
      </c>
      <c r="G23" s="10">
        <v>3000</v>
      </c>
      <c r="H23" s="3">
        <f>E23*F23+표2[[#This Row],[배송비]]</f>
        <v>3680</v>
      </c>
      <c r="I23" s="3">
        <f>표2[[#This Row],[소계]]*1.2</f>
        <v>4416</v>
      </c>
      <c r="J23" s="6" t="s">
        <v>67</v>
      </c>
    </row>
    <row r="24" spans="2:10">
      <c r="B24" s="5">
        <v>17</v>
      </c>
      <c r="C24" s="2" t="s">
        <v>68</v>
      </c>
      <c r="D24" t="s">
        <v>69</v>
      </c>
      <c r="E24" s="1">
        <v>1</v>
      </c>
      <c r="F24" s="8">
        <v>9900</v>
      </c>
      <c r="G24" s="7">
        <v>2500</v>
      </c>
      <c r="H24" s="3">
        <f>E24*F24+표2[[#This Row],[배송비]]</f>
        <v>12400</v>
      </c>
      <c r="I24" s="3">
        <f>표2[[#This Row],[소계]]*1.2</f>
        <v>14880</v>
      </c>
      <c r="J24" s="6" t="s">
        <v>70</v>
      </c>
    </row>
    <row r="25" spans="2:10">
      <c r="B25" s="5">
        <v>18</v>
      </c>
      <c r="C25" s="2" t="s">
        <v>71</v>
      </c>
      <c r="D25" t="s">
        <v>72</v>
      </c>
      <c r="E25" s="1">
        <v>4</v>
      </c>
      <c r="F25" s="8">
        <v>5900</v>
      </c>
      <c r="G25" s="8">
        <v>3000</v>
      </c>
      <c r="H25" s="3">
        <f>E25*F25+표2[[#This Row],[배송비]]</f>
        <v>26600</v>
      </c>
      <c r="I25" s="3">
        <f>표2[[#This Row],[소계]]*1.2</f>
        <v>31920</v>
      </c>
      <c r="J25" s="6" t="s">
        <v>73</v>
      </c>
    </row>
    <row r="26" spans="2:10">
      <c r="B26" s="5">
        <v>19</v>
      </c>
      <c r="C26" s="2" t="s">
        <v>74</v>
      </c>
      <c r="D26" t="s">
        <v>75</v>
      </c>
      <c r="E26" s="1">
        <v>1</v>
      </c>
      <c r="F26" s="8">
        <v>2000</v>
      </c>
      <c r="G26" s="8"/>
      <c r="H26" s="3">
        <f>E26*F26+표2[[#This Row],[배송비]]</f>
        <v>2000</v>
      </c>
      <c r="I26" s="3">
        <f>표2[[#This Row],[소계]]*1.2</f>
        <v>2400</v>
      </c>
      <c r="J26" s="6" t="s">
        <v>76</v>
      </c>
    </row>
    <row r="27" spans="2:10">
      <c r="B27" s="5">
        <v>20</v>
      </c>
      <c r="C27" s="2" t="s">
        <v>77</v>
      </c>
      <c r="D27" t="s">
        <v>78</v>
      </c>
      <c r="E27" s="1">
        <v>1</v>
      </c>
      <c r="F27" s="11">
        <v>6000</v>
      </c>
      <c r="G27" s="4"/>
      <c r="H27" s="3">
        <f>E27*F27+표2[[#This Row],[배송비]]</f>
        <v>6000</v>
      </c>
      <c r="I27" s="3">
        <f>표2[[#This Row],[소계]]*1.2</f>
        <v>7200</v>
      </c>
      <c r="J27" s="6" t="s">
        <v>79</v>
      </c>
    </row>
    <row r="28" spans="2:10">
      <c r="H28" s="3">
        <f>E28*F28+표2[[#This Row],[배송비]]</f>
        <v>0</v>
      </c>
      <c r="I28" s="3">
        <f>표2[[#This Row],[소계]]*1.2</f>
        <v>0</v>
      </c>
    </row>
    <row r="29" spans="2:10">
      <c r="H29" s="3">
        <f>E29*F29+표2[[#This Row],[배송비]]</f>
        <v>0</v>
      </c>
      <c r="I29" s="3">
        <f>표2[[#This Row],[소계]]*1.2</f>
        <v>0</v>
      </c>
    </row>
    <row r="30" spans="2:10">
      <c r="H30" s="3">
        <f>E30*F30+표2[[#This Row],[배송비]]</f>
        <v>0</v>
      </c>
      <c r="I30" s="3">
        <f>표2[[#This Row],[소계]]*1.2</f>
        <v>0</v>
      </c>
    </row>
    <row r="31" spans="2:10">
      <c r="H31" s="3">
        <f>E31*F31+표2[[#This Row],[배송비]]</f>
        <v>0</v>
      </c>
      <c r="I31" s="3">
        <f>표2[[#This Row],[소계]]*1.2</f>
        <v>0</v>
      </c>
    </row>
    <row r="32" spans="2:10">
      <c r="H32" s="9" t="s">
        <v>80</v>
      </c>
      <c r="I32" s="9"/>
    </row>
    <row r="33" spans="8:9" ht="16.5" customHeight="1">
      <c r="H33" s="9">
        <f>SUM(H3:H27)</f>
        <v>400615</v>
      </c>
      <c r="I33" s="9">
        <f>SUM(I3:I27)</f>
        <v>480738</v>
      </c>
    </row>
  </sheetData>
  <phoneticPr fontId="2" type="noConversion"/>
  <hyperlinks>
    <hyperlink ref="J12" r:id="rId1" xr:uid="{23A5926C-3DB6-4841-A980-B5D6E168EAD7}"/>
    <hyperlink ref="J16" r:id="rId2" xr:uid="{FB695687-3D34-4343-8050-D2793518F265}"/>
    <hyperlink ref="J17" r:id="rId3" xr:uid="{1F9DA0F5-6DAD-4796-96AA-E7F006B97AB8}"/>
    <hyperlink ref="J8" r:id="rId4" display="https://www.coupang.com/vp/products/9139130017?itemId=26902219903&amp;vendorItemId=93871647795&amp;sourceType=srp_product_ads&amp;clickEventId=ea8de420-2f51-11f1-9e39-c70d284c0fb6&amp;korePlacement=15&amp;koreSubPlacement=3&amp;clickEventId=ea8de420-2f51-11f1-9e39-c70d284c0fb6&amp;korePlacement=15&amp;koreSubPlacement=3&amp;traceId=mniu2uqx" xr:uid="{FB157C55-75C3-404C-94F3-7BAD532CD29F}"/>
    <hyperlink ref="J26" r:id="rId5" xr:uid="{29453A42-4809-422F-9239-2D900FF2580B}"/>
    <hyperlink ref="J7" r:id="rId6" xr:uid="{60360948-866B-49E5-A86F-E357846B0375}"/>
    <hyperlink ref="J10" r:id="rId7" xr:uid="{2D4E6164-62A8-4E2C-B63D-B12B0179E49F}"/>
    <hyperlink ref="J5" r:id="rId8" xr:uid="{48D4B102-7215-4C18-9036-5331BB3C76BC}"/>
    <hyperlink ref="J18" r:id="rId9" xr:uid="{08206621-53B3-40C9-85A8-71FC33397AEF}"/>
    <hyperlink ref="J20" r:id="rId10" display="https://www.coupang.com/vp/products/7086329344?itemId=17646760041&amp;vendorItemId=84956041310&amp;sourceType=srp_product_ads&amp;clickEventId=1cf440c0-2f4e-11f1-bfae-872017f54ba2&amp;korePlacement=15&amp;koreSubPlacement=1&amp;clickEventId=1cf440c0-2f4e-11f1-bfae-872017f54ba2&amp;korePlacement=15&amp;koreSubPlacement=1&amp;traceId=mnit5w20" xr:uid="{C66A2DBC-2CBF-4461-B2D0-ECD977D3DE2E}"/>
    <hyperlink ref="J21" r:id="rId11" xr:uid="{D26E8785-803C-4A78-8865-1E120758ED73}"/>
    <hyperlink ref="J22" r:id="rId12" xr:uid="{6E63EDA8-D1FE-4D67-AD2B-1B5B0C7F5A2F}"/>
    <hyperlink ref="J27" r:id="rId13" display="https://www.coupang.com/vp/products/7461635233?itemId=10046185197&amp;vendorItemId=77329096383&amp;sourceType=srp_product_ads&amp;clickEventId=ce8aa2b0-2f4f-11f1-b5c8-1c9ff97456e2&amp;korePlacement=15&amp;koreSubPlacement=12&amp;clickEventId=ce8aa2b0-2f4f-11f1-b5c8-1c9ff97456e2&amp;korePlacement=15&amp;koreSubPlacement=12&amp;traceId=mnito7qr" xr:uid="{E9967153-DC2B-4982-9BF5-B30746F09DDE}"/>
    <hyperlink ref="J23" r:id="rId14" xr:uid="{9264885B-E2AC-4116-96D1-D678BA1AAC7C}"/>
    <hyperlink ref="J6" r:id="rId15" display="https://ko.aliexpress.com/item/1005008604349573.html?spm=a2g0o.productlist.main.2.14095347JXxyP1&amp;algo_pvid=7d2747bb-2595-4754-8bb3-22e2ae2182be&amp;algo_exp_id=7d2747bb-2595-4754-8bb3-22e2ae2182be-1&amp;pdp_ext_f=%7B%22order%22%3A%22686%22%2C%22eval%22%3A%221%22%2C%22fromPage%22%3A%22search%22%7D&amp;pdp_npi=6%40dis%21KRW%216759%211539%21%21%2129.93%216.82%21%4021010d9017752141226941961e021b%2112000045917032798%21sea%21KR%216542068629%21ABX%211%210%21n_tag%3A-29910%3Bd%3A75334cce%3Bm03_new_user%3A-29895%3BpisId%3A5000000203687443&amp;curPageLogUid=arXGx9JuTULT&amp;utparam-url=scene%3Asearch%7Cquery_from%3A%7Cx_object_id%3A1005008604349573%7C_p_origin_prod%3A" xr:uid="{57980BAA-CCFC-42CA-A466-4880A422B575}"/>
    <hyperlink ref="J15" r:id="rId16" xr:uid="{C9EF5C4F-5E24-496D-B226-4610473D61C0}"/>
    <hyperlink ref="J25" r:id="rId17" xr:uid="{42DE403C-4751-44BD-AF62-91411C1224C5}"/>
    <hyperlink ref="J19" r:id="rId18" xr:uid="{E38951F9-29D2-4497-9826-4B0C0A86C86C}"/>
    <hyperlink ref="J24" r:id="rId19" xr:uid="{A3591A6D-9E10-4A1B-A04C-BEFFE9057F3A}"/>
    <hyperlink ref="J4" r:id="rId20" display="https://ko.aliexpress.com/item/1005009819241814.html?spm=a2g0o.cart.0.0.688038datgTtNG&amp;mp=1&amp;pdp_npi=6%40dis%21KRW%21KRW%2015203%21KRW%207768%21%21KRW%207768%21%21%21%400b1bf20a17752115893984618e53f7%2112000050270752960%21ct%21KR%216542068629%21%211%210%21&amp;gatewayAdapt=glo2kor" xr:uid="{C7FF0073-386C-4CC5-9674-F9BA40C23E71}"/>
    <hyperlink ref="J3" r:id="rId21" display="https://ko.aliexpress.com/item/1005008492002266.html?spm=a2g0o.cart.0.0.688038datgTtNG&amp;mp=1&amp;pdp_npi=6%40dis%21KRW%21KRW%2020686%21KRW%2014468%21%21KRW%2014468%21%21%21%400b1bf20a17752115893984618e53f7%2112000045384697340%21ct%21KR%216542068629%21%211%210%21&amp;gatewayAdapt=glo2kor" xr:uid="{1DCCBAE0-334A-4D52-88BB-0F1EF6645335}"/>
    <hyperlink ref="J9" r:id="rId22" xr:uid="{E943F3A9-CA25-4A50-8624-B979233729F3}"/>
    <hyperlink ref="J14" r:id="rId23" xr:uid="{F1880DB9-1610-4E1D-A20C-C3135D5AD299}"/>
    <hyperlink ref="J13" r:id="rId24" xr:uid="{039F535C-3EBA-43E4-AFAD-3FBF469E4E96}"/>
    <hyperlink ref="J11" r:id="rId25" xr:uid="{CD4AA8C2-C78F-4781-8B41-8EB0B0A67D4F}"/>
  </hyperlinks>
  <pageMargins left="0.7" right="0.7" top="0.75" bottom="0.75" header="0.3" footer="0.3"/>
  <tableParts count="1">
    <tablePart r:id="rId2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 현승</dc:creator>
  <cp:keywords/>
  <dc:description/>
  <cp:lastModifiedBy/>
  <cp:revision/>
  <dcterms:created xsi:type="dcterms:W3CDTF">2026-04-03T11:15:57Z</dcterms:created>
  <dcterms:modified xsi:type="dcterms:W3CDTF">2026-04-03T12:41:56Z</dcterms:modified>
  <cp:category/>
  <cp:contentStatus/>
</cp:coreProperties>
</file>